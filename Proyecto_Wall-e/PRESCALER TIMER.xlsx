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sue\Downloads\"/>
    </mc:Choice>
  </mc:AlternateContent>
  <xr:revisionPtr revIDLastSave="0" documentId="13_ncr:1_{E3338A5A-DE71-4A32-BE41-999E86811AC9}" xr6:coauthVersionLast="47" xr6:coauthVersionMax="47" xr10:uidLastSave="{00000000-0000-0000-0000-000000000000}"/>
  <bookViews>
    <workbookView xWindow="-120" yWindow="-120" windowWidth="29040" windowHeight="16440" xr2:uid="{05361901-1B09-4C39-BFC4-BF6489678941}"/>
  </bookViews>
  <sheets>
    <sheet name="TIMER0" sheetId="1" r:id="rId1"/>
    <sheet name="TIMER1" sheetId="2" r:id="rId2"/>
    <sheet name="PWM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" i="2" l="1"/>
  <c r="C11" i="2"/>
  <c r="C30" i="3"/>
  <c r="C25" i="3"/>
  <c r="D25" i="3" s="1"/>
  <c r="E25" i="3" s="1"/>
  <c r="C5" i="3"/>
  <c r="C32" i="3" s="1"/>
  <c r="C33" i="3" s="1"/>
  <c r="C8" i="3"/>
  <c r="C17" i="3" s="1"/>
  <c r="D17" i="3" s="1"/>
  <c r="E17" i="3" s="1"/>
  <c r="C8" i="1"/>
  <c r="C8" i="2"/>
  <c r="C5" i="2"/>
  <c r="C5" i="1"/>
  <c r="C11" i="3" l="1"/>
  <c r="C12" i="3" s="1"/>
  <c r="C13" i="3" s="1"/>
  <c r="E2" i="3"/>
  <c r="E3" i="3" s="1"/>
  <c r="C16" i="3"/>
  <c r="D16" i="3" s="1"/>
  <c r="E16" i="3" s="1"/>
  <c r="C26" i="3"/>
  <c r="D26" i="3" s="1"/>
  <c r="E26" i="3" s="1"/>
  <c r="C20" i="3"/>
  <c r="C21" i="3" s="1"/>
  <c r="C22" i="3" s="1"/>
  <c r="C14" i="2"/>
  <c r="D14" i="2" s="1"/>
  <c r="C13" i="2"/>
  <c r="D13" i="2" s="1"/>
  <c r="C13" i="1"/>
  <c r="C10" i="1"/>
  <c r="C10" i="2"/>
  <c r="C11" i="1"/>
  <c r="C14" i="1"/>
  <c r="F9" i="3" l="1"/>
  <c r="F8" i="3"/>
  <c r="G8" i="3" s="1"/>
</calcChain>
</file>

<file path=xl/sharedStrings.xml><?xml version="1.0" encoding="utf-8"?>
<sst xmlns="http://schemas.openxmlformats.org/spreadsheetml/2006/main" count="52" uniqueCount="28">
  <si>
    <t>Tamaño del Timer (BITS)</t>
  </si>
  <si>
    <t>System Clock Frequency (Hz)</t>
  </si>
  <si>
    <t>System Clock Prescaler</t>
  </si>
  <si>
    <t>Clock I/O Frequency (Hz)</t>
  </si>
  <si>
    <t>Clock I/O Prescaler</t>
  </si>
  <si>
    <t>Delay deseado</t>
  </si>
  <si>
    <t>Cantidad de bits</t>
  </si>
  <si>
    <t>Prescaler minimo</t>
  </si>
  <si>
    <t>Tiempo Maximo</t>
  </si>
  <si>
    <t>TCNT0</t>
  </si>
  <si>
    <t>OCR0A</t>
  </si>
  <si>
    <t>SYSTEM CLOCK PRESCALER</t>
  </si>
  <si>
    <t>PWM Prescaler</t>
  </si>
  <si>
    <t>Duty Cycle</t>
  </si>
  <si>
    <t>F PWM</t>
  </si>
  <si>
    <t>T MAXIMO</t>
  </si>
  <si>
    <t>T MAXIMO MS</t>
  </si>
  <si>
    <t>NO INVERTIDO</t>
  </si>
  <si>
    <t>INVERTIDO</t>
  </si>
  <si>
    <t>Clock Frequency (Hz)</t>
  </si>
  <si>
    <t>FAST PWM</t>
  </si>
  <si>
    <t>PWM, PHASE CORRECT</t>
  </si>
  <si>
    <t>TIMER 1</t>
  </si>
  <si>
    <t>F PWM deseado</t>
  </si>
  <si>
    <t>T PWM deseado</t>
  </si>
  <si>
    <t>TOP</t>
  </si>
  <si>
    <t>OCRxN</t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</si>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</sst>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410228</xdr:colOff>
      <xdr:row>8</xdr:row>
      <xdr:rowOff>66917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617348-D2AF-10F0-17F6-4DE245122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7925" y="190500"/>
          <a:ext cx="4677428" cy="173379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123825</xdr:rowOff>
    </xdr:from>
    <xdr:to>
      <xdr:col>12</xdr:col>
      <xdr:colOff>409971</xdr:colOff>
      <xdr:row>12</xdr:row>
      <xdr:rowOff>66800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BCFD3B-46E4-4B84-664F-2472B1109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75" y="2028825"/>
          <a:ext cx="2838846" cy="895475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13</xdr:row>
      <xdr:rowOff>47625</xdr:rowOff>
    </xdr:from>
    <xdr:to>
      <xdr:col>12</xdr:col>
      <xdr:colOff>419496</xdr:colOff>
      <xdr:row>16</xdr:row>
      <xdr:rowOff>181080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D377ED-8CEF-47DE-C9BE-2C5058B6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91400" y="3143250"/>
          <a:ext cx="2838846" cy="7525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333375</xdr:colOff>
      <xdr:row>21</xdr:row>
      <xdr:rowOff>93502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F7324F-DB89-A89C-1C34-DAD5DA475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3905250"/>
          <a:ext cx="3200400" cy="855502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16</xdr:row>
      <xdr:rowOff>180975</xdr:rowOff>
    </xdr:from>
    <xdr:to>
      <xdr:col>7</xdr:col>
      <xdr:colOff>142875</xdr:colOff>
      <xdr:row>21</xdr:row>
      <xdr:rowOff>36997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68F153D-4C5E-42FF-2082-C508BCB9A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00" y="3895725"/>
          <a:ext cx="3200400" cy="8085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29452</xdr:colOff>
      <xdr:row>34</xdr:row>
      <xdr:rowOff>38371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21D443A-C354-C8BD-FB6C-AD60FAC99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238750"/>
          <a:ext cx="6287377" cy="19433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32385</xdr:colOff>
      <xdr:row>10</xdr:row>
      <xdr:rowOff>24765</xdr:rowOff>
    </xdr:from>
    <xdr:to>
      <xdr:col>12</xdr:col>
      <xdr:colOff>432831</xdr:colOff>
      <xdr:row>15</xdr:row>
      <xdr:rowOff>13460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D49BF41-4E8E-4D70-9182-F8331F3F6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605" y="2310765"/>
          <a:ext cx="2838846" cy="1085975"/>
        </a:xfrm>
        <a:prstGeom prst="rect">
          <a:avLst/>
        </a:prstGeom>
      </xdr:spPr>
    </xdr:pic>
    <xdr:clientData/>
  </xdr:twoCellAnchor>
  <xdr:twoCellAnchor editAs="oneCell">
    <xdr:from>
      <xdr:col>7</xdr:col>
      <xdr:colOff>598170</xdr:colOff>
      <xdr:row>15</xdr:row>
      <xdr:rowOff>108585</xdr:rowOff>
    </xdr:from>
    <xdr:to>
      <xdr:col>12</xdr:col>
      <xdr:colOff>389016</xdr:colOff>
      <xdr:row>19</xdr:row>
      <xdr:rowOff>144885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679EE38-56B5-424F-A14B-A248D1FE5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63790" y="3491865"/>
          <a:ext cx="2838846" cy="7678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333375</xdr:colOff>
      <xdr:row>21</xdr:row>
      <xdr:rowOff>93502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13090C-40FE-4ED5-870C-E69E915B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3905250"/>
          <a:ext cx="3200400" cy="855502"/>
        </a:xfrm>
        <a:prstGeom prst="rect">
          <a:avLst/>
        </a:prstGeom>
      </xdr:spPr>
    </xdr:pic>
    <xdr:clientData/>
  </xdr:twoCellAnchor>
  <xdr:twoCellAnchor editAs="oneCell">
    <xdr:from>
      <xdr:col>2</xdr:col>
      <xdr:colOff>333375</xdr:colOff>
      <xdr:row>16</xdr:row>
      <xdr:rowOff>180975</xdr:rowOff>
    </xdr:from>
    <xdr:to>
      <xdr:col>7</xdr:col>
      <xdr:colOff>247650</xdr:colOff>
      <xdr:row>21</xdr:row>
      <xdr:rowOff>36997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4E12F3-BA83-4949-B56D-D16699AC0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00" y="3895725"/>
          <a:ext cx="3200400" cy="80852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7</xdr:col>
      <xdr:colOff>134227</xdr:colOff>
      <xdr:row>34</xdr:row>
      <xdr:rowOff>38371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D52739F-DF33-47E9-8AF5-6A3C74BA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238750"/>
          <a:ext cx="6287377" cy="1943371"/>
        </a:xfrm>
        <a:prstGeom prst="rect">
          <a:avLst/>
        </a:prstGeom>
      </xdr:spPr>
    </xdr:pic>
    <xdr:clientData/>
  </xdr:twoCellAnchor>
  <xdr:twoCellAnchor editAs="oneCell">
    <xdr:from>
      <xdr:col>7</xdr:col>
      <xdr:colOff>590550</xdr:colOff>
      <xdr:row>1</xdr:row>
      <xdr:rowOff>0</xdr:rowOff>
    </xdr:from>
    <xdr:to>
      <xdr:col>15</xdr:col>
      <xdr:colOff>391178</xdr:colOff>
      <xdr:row>8</xdr:row>
      <xdr:rowOff>66917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F7D201-01EF-4920-942E-7310FD052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53300" y="238125"/>
          <a:ext cx="4677428" cy="17337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410228</xdr:colOff>
      <xdr:row>8</xdr:row>
      <xdr:rowOff>66917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9DC182-AC80-41C9-8921-015B5B878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72350" y="190500"/>
          <a:ext cx="4677428" cy="1733792"/>
        </a:xfrm>
        <a:prstGeom prst="rect">
          <a:avLst/>
        </a:prstGeom>
      </xdr:spPr>
    </xdr:pic>
    <xdr:clientData/>
  </xdr:twoCellAnchor>
  <xdr:twoCellAnchor editAs="oneCell">
    <xdr:from>
      <xdr:col>8</xdr:col>
      <xdr:colOff>409575</xdr:colOff>
      <xdr:row>27</xdr:row>
      <xdr:rowOff>161925</xdr:rowOff>
    </xdr:from>
    <xdr:to>
      <xdr:col>23</xdr:col>
      <xdr:colOff>429904</xdr:colOff>
      <xdr:row>44</xdr:row>
      <xdr:rowOff>105259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CB0B74-BC6F-D26C-3D5A-3EA5F5694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81925" y="6019800"/>
          <a:ext cx="9164329" cy="3467584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10</xdr:row>
      <xdr:rowOff>9525</xdr:rowOff>
    </xdr:from>
    <xdr:to>
      <xdr:col>24</xdr:col>
      <xdr:colOff>68039</xdr:colOff>
      <xdr:row>30</xdr:row>
      <xdr:rowOff>86380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BEAC56-6509-B5D5-5307-363ADFB4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9975" y="2057400"/>
          <a:ext cx="9774014" cy="4696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D8922-D92E-4E44-93B9-4CDFEDD960AB}">
  <dimension ref="B1:C24"/>
  <sheetViews>
    <sheetView tabSelected="1" workbookViewId="0">
      <selection activeCell="C8" sqref="C8"/>
    </sheetView>
  </sheetViews>
  <sheetFormatPr defaultRowHeight="15" x14ac:dyDescent="0.25"/>
  <cols>
    <col min="2" max="2" width="43" customWidth="1"/>
    <col min="3" max="3" width="14.28515625" bestFit="1" customWidth="1"/>
  </cols>
  <sheetData>
    <row r="1" spans="2:3" ht="18.75" x14ac:dyDescent="0.3">
      <c r="B1" s="1"/>
      <c r="C1" s="1"/>
    </row>
    <row r="2" spans="2:3" ht="18.75" x14ac:dyDescent="0.3">
      <c r="B2" s="2" t="s">
        <v>0</v>
      </c>
      <c r="C2" s="3">
        <v>8</v>
      </c>
    </row>
    <row r="3" spans="2:3" ht="18.75" x14ac:dyDescent="0.3">
      <c r="B3" s="2" t="s">
        <v>1</v>
      </c>
      <c r="C3" s="3">
        <v>16000000</v>
      </c>
    </row>
    <row r="4" spans="2:3" ht="18.75" x14ac:dyDescent="0.3">
      <c r="B4" s="2" t="s">
        <v>2</v>
      </c>
      <c r="C4" s="3">
        <v>1</v>
      </c>
    </row>
    <row r="5" spans="2:3" ht="18.75" x14ac:dyDescent="0.3">
      <c r="B5" s="2" t="s">
        <v>3</v>
      </c>
      <c r="C5" s="3">
        <f>C3/C4</f>
        <v>16000000</v>
      </c>
    </row>
    <row r="6" spans="2:3" ht="18.75" x14ac:dyDescent="0.3">
      <c r="B6" s="2" t="s">
        <v>4</v>
      </c>
      <c r="C6" s="3">
        <v>64</v>
      </c>
    </row>
    <row r="7" spans="2:3" ht="18.75" x14ac:dyDescent="0.3">
      <c r="B7" s="2" t="s">
        <v>5</v>
      </c>
      <c r="C7" s="3">
        <v>0</v>
      </c>
    </row>
    <row r="8" spans="2:3" ht="18.75" x14ac:dyDescent="0.3">
      <c r="B8" s="2" t="s">
        <v>6</v>
      </c>
      <c r="C8" s="3">
        <f>POWER(2,C2)</f>
        <v>256</v>
      </c>
    </row>
    <row r="9" spans="2:3" ht="18.75" x14ac:dyDescent="0.3">
      <c r="B9" s="1"/>
      <c r="C9" s="1"/>
    </row>
    <row r="10" spans="2:3" ht="18.75" x14ac:dyDescent="0.3">
      <c r="B10" s="1" t="s">
        <v>7</v>
      </c>
      <c r="C10" s="1">
        <f>(C5*C7)/C8</f>
        <v>0</v>
      </c>
    </row>
    <row r="11" spans="2:3" ht="18.75" x14ac:dyDescent="0.3">
      <c r="B11" s="1" t="s">
        <v>8</v>
      </c>
      <c r="C11" s="1">
        <f>(C8*C6)/C5</f>
        <v>1.024E-3</v>
      </c>
    </row>
    <row r="12" spans="2:3" ht="18.75" x14ac:dyDescent="0.3">
      <c r="B12" s="1"/>
      <c r="C12" s="1"/>
    </row>
    <row r="13" spans="2:3" ht="18.75" x14ac:dyDescent="0.3">
      <c r="B13" s="4" t="s">
        <v>9</v>
      </c>
      <c r="C13" s="4">
        <f>256-(C5*C7)/C6</f>
        <v>256</v>
      </c>
    </row>
    <row r="14" spans="2:3" ht="18.75" x14ac:dyDescent="0.3">
      <c r="B14" s="5" t="s">
        <v>10</v>
      </c>
      <c r="C14" s="5">
        <f>(C5*C7)/C6</f>
        <v>0</v>
      </c>
    </row>
    <row r="24" spans="2:2" x14ac:dyDescent="0.25">
      <c r="B24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E4F65-ECAD-42AC-B66D-0C65BF8F7429}">
  <dimension ref="B1:H42"/>
  <sheetViews>
    <sheetView workbookViewId="0">
      <selection activeCell="D11" sqref="D11"/>
    </sheetView>
  </sheetViews>
  <sheetFormatPr defaultRowHeight="15" x14ac:dyDescent="0.25"/>
  <cols>
    <col min="2" max="2" width="43" customWidth="1"/>
    <col min="3" max="3" width="12.7109375" bestFit="1" customWidth="1"/>
  </cols>
  <sheetData>
    <row r="1" spans="2:4" ht="18.75" x14ac:dyDescent="0.3">
      <c r="B1" s="1"/>
      <c r="C1" s="1"/>
    </row>
    <row r="2" spans="2:4" ht="18.75" x14ac:dyDescent="0.3">
      <c r="B2" s="2" t="s">
        <v>0</v>
      </c>
      <c r="C2" s="3">
        <v>16</v>
      </c>
    </row>
    <row r="3" spans="2:4" ht="18.75" x14ac:dyDescent="0.3">
      <c r="B3" s="2" t="s">
        <v>1</v>
      </c>
      <c r="C3" s="3">
        <v>16000000</v>
      </c>
    </row>
    <row r="4" spans="2:4" ht="18.75" x14ac:dyDescent="0.3">
      <c r="B4" s="2" t="s">
        <v>2</v>
      </c>
      <c r="C4" s="3">
        <v>8</v>
      </c>
    </row>
    <row r="5" spans="2:4" ht="18.75" x14ac:dyDescent="0.3">
      <c r="B5" s="2" t="s">
        <v>3</v>
      </c>
      <c r="C5" s="3">
        <f>C3/C4</f>
        <v>2000000</v>
      </c>
    </row>
    <row r="6" spans="2:4" ht="18.75" x14ac:dyDescent="0.3">
      <c r="B6" s="2" t="s">
        <v>4</v>
      </c>
      <c r="C6" s="3">
        <v>8</v>
      </c>
    </row>
    <row r="7" spans="2:4" ht="18.75" x14ac:dyDescent="0.3">
      <c r="B7" s="2" t="s">
        <v>5</v>
      </c>
      <c r="C7" s="3">
        <v>0.5</v>
      </c>
    </row>
    <row r="8" spans="2:4" ht="18.75" x14ac:dyDescent="0.3">
      <c r="B8" s="2" t="s">
        <v>6</v>
      </c>
      <c r="C8" s="3">
        <f>POWER(2,C2)</f>
        <v>65536</v>
      </c>
    </row>
    <row r="9" spans="2:4" ht="18.75" x14ac:dyDescent="0.3">
      <c r="B9" s="1"/>
      <c r="C9" s="1"/>
    </row>
    <row r="10" spans="2:4" ht="18.75" x14ac:dyDescent="0.3">
      <c r="B10" s="1" t="s">
        <v>7</v>
      </c>
      <c r="C10" s="1">
        <f>(C5*C7)/C8</f>
        <v>15.2587890625</v>
      </c>
    </row>
    <row r="11" spans="2:4" ht="18.75" x14ac:dyDescent="0.3">
      <c r="B11" s="1" t="s">
        <v>8</v>
      </c>
      <c r="C11" s="1">
        <f>(C8*C6)/C5</f>
        <v>0.26214399999999999</v>
      </c>
      <c r="D11">
        <f>1/C11</f>
        <v>3.814697265625</v>
      </c>
    </row>
    <row r="12" spans="2:4" ht="18.75" x14ac:dyDescent="0.3">
      <c r="B12" s="1"/>
      <c r="C12" s="1"/>
    </row>
    <row r="13" spans="2:4" ht="18.75" x14ac:dyDescent="0.3">
      <c r="B13" s="4" t="s">
        <v>9</v>
      </c>
      <c r="C13" s="4">
        <f>C8-(C5*C7)/C6</f>
        <v>-59464</v>
      </c>
      <c r="D13" t="str">
        <f>DEC2HEX(C13)</f>
        <v>FFFFFF17B8</v>
      </c>
    </row>
    <row r="14" spans="2:4" ht="18.75" x14ac:dyDescent="0.3">
      <c r="B14" s="5" t="s">
        <v>10</v>
      </c>
      <c r="C14" s="5">
        <f>(C5*C7)/C6</f>
        <v>125000</v>
      </c>
      <c r="D14" t="str">
        <f>DEC2HEX(C14)</f>
        <v>1E848</v>
      </c>
    </row>
    <row r="24" spans="2:2" x14ac:dyDescent="0.25">
      <c r="B24" t="s">
        <v>11</v>
      </c>
    </row>
    <row r="42" spans="8:8" x14ac:dyDescent="0.25">
      <c r="H42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8DAD-9D59-411E-9732-8DD7C363EF92}">
  <dimension ref="B2:G33"/>
  <sheetViews>
    <sheetView workbookViewId="0">
      <selection activeCell="C8" sqref="C8"/>
    </sheetView>
  </sheetViews>
  <sheetFormatPr defaultRowHeight="15" x14ac:dyDescent="0.25"/>
  <cols>
    <col min="2" max="2" width="43" customWidth="1"/>
    <col min="3" max="3" width="12.7109375" bestFit="1" customWidth="1"/>
  </cols>
  <sheetData>
    <row r="2" spans="2:7" ht="18.75" x14ac:dyDescent="0.3">
      <c r="B2" s="2" t="s">
        <v>0</v>
      </c>
      <c r="C2" s="3">
        <v>16</v>
      </c>
      <c r="E2">
        <f>C5/C6</f>
        <v>250000</v>
      </c>
    </row>
    <row r="3" spans="2:7" ht="18.75" x14ac:dyDescent="0.3">
      <c r="B3" s="2" t="s">
        <v>1</v>
      </c>
      <c r="C3" s="3">
        <v>16000000</v>
      </c>
      <c r="E3">
        <f>1/E2</f>
        <v>3.9999999999999998E-6</v>
      </c>
    </row>
    <row r="4" spans="2:7" ht="18.75" x14ac:dyDescent="0.3">
      <c r="B4" s="2" t="s">
        <v>2</v>
      </c>
      <c r="C4" s="3">
        <v>8</v>
      </c>
    </row>
    <row r="5" spans="2:7" ht="18.75" x14ac:dyDescent="0.3">
      <c r="B5" s="2" t="s">
        <v>19</v>
      </c>
      <c r="C5" s="3">
        <f>C3/C4</f>
        <v>2000000</v>
      </c>
    </row>
    <row r="6" spans="2:7" ht="18.75" x14ac:dyDescent="0.3">
      <c r="B6" s="2" t="s">
        <v>12</v>
      </c>
      <c r="C6" s="3">
        <v>8</v>
      </c>
    </row>
    <row r="7" spans="2:7" ht="18.75" x14ac:dyDescent="0.3">
      <c r="B7" s="2" t="s">
        <v>13</v>
      </c>
      <c r="C7" s="3">
        <v>2.5</v>
      </c>
    </row>
    <row r="8" spans="2:7" ht="18.75" x14ac:dyDescent="0.3">
      <c r="B8" s="2" t="s">
        <v>6</v>
      </c>
      <c r="C8" s="3">
        <f>POWER(2,C2)</f>
        <v>65536</v>
      </c>
      <c r="F8">
        <f>(0.5/C13)*100</f>
        <v>0.19073486328125</v>
      </c>
      <c r="G8">
        <f>F8/100*C8</f>
        <v>125</v>
      </c>
    </row>
    <row r="9" spans="2:7" x14ac:dyDescent="0.25">
      <c r="F9">
        <f>(2.5/C13)*100</f>
        <v>0.95367431640625</v>
      </c>
    </row>
    <row r="10" spans="2:7" ht="18.75" x14ac:dyDescent="0.3">
      <c r="B10" s="1" t="s">
        <v>20</v>
      </c>
    </row>
    <row r="11" spans="2:7" ht="18.75" x14ac:dyDescent="0.3">
      <c r="B11" s="1" t="s">
        <v>14</v>
      </c>
      <c r="C11">
        <f>C5/(C8*C6)</f>
        <v>3.814697265625</v>
      </c>
    </row>
    <row r="12" spans="2:7" ht="18.75" x14ac:dyDescent="0.3">
      <c r="B12" s="1" t="s">
        <v>15</v>
      </c>
      <c r="C12">
        <f>1/C11</f>
        <v>0.26214399999999999</v>
      </c>
    </row>
    <row r="13" spans="2:7" ht="18.75" x14ac:dyDescent="0.3">
      <c r="B13" s="1" t="s">
        <v>16</v>
      </c>
      <c r="C13">
        <f>C12*1000</f>
        <v>262.14400000000001</v>
      </c>
    </row>
    <row r="14" spans="2:7" ht="18.75" x14ac:dyDescent="0.3">
      <c r="B14" s="1"/>
    </row>
    <row r="15" spans="2:7" ht="18.75" x14ac:dyDescent="0.3">
      <c r="B15" s="1" t="s">
        <v>26</v>
      </c>
      <c r="E15" t="s">
        <v>27</v>
      </c>
    </row>
    <row r="16" spans="2:7" ht="18.75" x14ac:dyDescent="0.3">
      <c r="B16" s="5" t="s">
        <v>17</v>
      </c>
      <c r="C16" s="6">
        <f>(C7*C8/100)-1</f>
        <v>1637.4</v>
      </c>
      <c r="D16">
        <f>ROUNDUP(C16,0)</f>
        <v>1638</v>
      </c>
      <c r="E16" t="str">
        <f>DEC2HEX(D16,4)</f>
        <v>0666</v>
      </c>
    </row>
    <row r="17" spans="2:5" ht="18.75" x14ac:dyDescent="0.3">
      <c r="B17" s="7" t="s">
        <v>18</v>
      </c>
      <c r="C17" s="8">
        <f>C8-(C8*C7/100)-1</f>
        <v>63896.6</v>
      </c>
      <c r="D17">
        <f>ROUNDUP(C17,0)</f>
        <v>63897</v>
      </c>
      <c r="E17" t="str">
        <f>DEC2HEX(D17,4)</f>
        <v>F999</v>
      </c>
    </row>
    <row r="19" spans="2:5" ht="18.75" x14ac:dyDescent="0.3">
      <c r="B19" s="1" t="s">
        <v>21</v>
      </c>
    </row>
    <row r="20" spans="2:5" ht="18.75" x14ac:dyDescent="0.3">
      <c r="B20" s="1" t="s">
        <v>14</v>
      </c>
      <c r="C20">
        <f>C5/(C6*2^(C2+1))</f>
        <v>1.9073486328125</v>
      </c>
    </row>
    <row r="21" spans="2:5" ht="18.75" x14ac:dyDescent="0.3">
      <c r="B21" s="1" t="s">
        <v>15</v>
      </c>
      <c r="C21">
        <f>1/C20</f>
        <v>0.52428799999999998</v>
      </c>
    </row>
    <row r="22" spans="2:5" ht="18.75" x14ac:dyDescent="0.3">
      <c r="B22" s="1" t="s">
        <v>16</v>
      </c>
      <c r="C22">
        <f>C21*1000</f>
        <v>524.28800000000001</v>
      </c>
    </row>
    <row r="24" spans="2:5" ht="18.75" x14ac:dyDescent="0.3">
      <c r="B24" s="1" t="s">
        <v>26</v>
      </c>
    </row>
    <row r="25" spans="2:5" ht="18.75" x14ac:dyDescent="0.3">
      <c r="B25" s="5" t="s">
        <v>17</v>
      </c>
      <c r="C25" s="6">
        <f>(C7*2^(C2+1))/(100*2)</f>
        <v>1638.4</v>
      </c>
      <c r="D25">
        <f>ROUNDUP(C25,0)</f>
        <v>1639</v>
      </c>
      <c r="E25" t="str">
        <f>DEC2HEX(D25,4)</f>
        <v>0667</v>
      </c>
    </row>
    <row r="26" spans="2:5" ht="18.75" x14ac:dyDescent="0.3">
      <c r="B26" s="7" t="s">
        <v>18</v>
      </c>
      <c r="C26" s="8">
        <f>(C8-((C7*C8)/100))/2</f>
        <v>31948.799999999999</v>
      </c>
      <c r="D26">
        <f>ROUNDUP(C26,0)</f>
        <v>31949</v>
      </c>
      <c r="E26" t="str">
        <f>DEC2HEX(D26,4)</f>
        <v>7CCD</v>
      </c>
    </row>
    <row r="28" spans="2:5" ht="18.75" x14ac:dyDescent="0.3">
      <c r="B28" s="1" t="s">
        <v>22</v>
      </c>
    </row>
    <row r="29" spans="2:5" ht="18.75" x14ac:dyDescent="0.3">
      <c r="B29" s="1" t="s">
        <v>23</v>
      </c>
      <c r="C29">
        <v>50</v>
      </c>
    </row>
    <row r="30" spans="2:5" ht="18.75" x14ac:dyDescent="0.3">
      <c r="B30" s="1" t="s">
        <v>24</v>
      </c>
      <c r="C30">
        <f>1/C29</f>
        <v>0.02</v>
      </c>
    </row>
    <row r="31" spans="2:5" ht="18.75" x14ac:dyDescent="0.3">
      <c r="B31" s="9" t="s">
        <v>20</v>
      </c>
      <c r="C31" s="10"/>
    </row>
    <row r="32" spans="2:5" ht="18.75" x14ac:dyDescent="0.3">
      <c r="B32" s="1" t="s">
        <v>25</v>
      </c>
      <c r="C32">
        <f>((C5*C30)/C6)-1</f>
        <v>4999</v>
      </c>
    </row>
    <row r="33" spans="2:3" ht="18.75" x14ac:dyDescent="0.3">
      <c r="B33" s="1" t="s">
        <v>26</v>
      </c>
      <c r="C33">
        <f>(C7/100)*(C32+1)</f>
        <v>125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TIMER0</vt:lpstr>
      <vt:lpstr>TIMER1</vt:lpstr>
      <vt:lpstr>PWM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 IXCAYAU, JOSUE ELI</dc:creator>
  <cp:lastModifiedBy>Josue Mata</cp:lastModifiedBy>
  <dcterms:created xsi:type="dcterms:W3CDTF">2026-02-13T03:12:26Z</dcterms:created>
  <dcterms:modified xsi:type="dcterms:W3CDTF">2026-04-22T17:31:33Z</dcterms:modified>
</cp:coreProperties>
</file>