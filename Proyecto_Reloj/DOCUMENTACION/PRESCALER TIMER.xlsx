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sue\Downloads\"/>
    </mc:Choice>
  </mc:AlternateContent>
  <xr:revisionPtr revIDLastSave="0" documentId="13_ncr:1_{1DE5A717-42A5-4075-AD90-D854A393CE8B}" xr6:coauthVersionLast="47" xr6:coauthVersionMax="47" xr10:uidLastSave="{00000000-0000-0000-0000-000000000000}"/>
  <bookViews>
    <workbookView xWindow="-108" yWindow="-108" windowWidth="23256" windowHeight="12456" activeTab="1" xr2:uid="{05361901-1B09-4C39-BFC4-BF6489678941}"/>
  </bookViews>
  <sheets>
    <sheet name="TIMER0" sheetId="1" r:id="rId1"/>
    <sheet name="TIMER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8" i="2"/>
  <c r="C5" i="2"/>
  <c r="C5" i="1"/>
  <c r="C11" i="2" l="1"/>
  <c r="C14" i="2"/>
  <c r="D14" i="2" s="1"/>
  <c r="C13" i="2"/>
  <c r="D13" i="2" s="1"/>
  <c r="C13" i="1"/>
  <c r="C10" i="1"/>
  <c r="C10" i="2"/>
  <c r="C11" i="1"/>
  <c r="C14" i="1"/>
</calcChain>
</file>

<file path=xl/sharedStrings.xml><?xml version="1.0" encoding="utf-8"?>
<sst xmlns="http://schemas.openxmlformats.org/spreadsheetml/2006/main" count="24" uniqueCount="12">
  <si>
    <t>Tamaño del Timer (BITS)</t>
  </si>
  <si>
    <t>System Clock Frequency (Hz)</t>
  </si>
  <si>
    <t>System Clock Prescaler</t>
  </si>
  <si>
    <t>Clock I/O Frequency (Hz)</t>
  </si>
  <si>
    <t>Clock I/O Prescaler</t>
  </si>
  <si>
    <t>Delay deseado</t>
  </si>
  <si>
    <t>Cantidad de bits</t>
  </si>
  <si>
    <t>Prescaler minimo</t>
  </si>
  <si>
    <t>Tiempo Maximo</t>
  </si>
  <si>
    <t>TCNT0</t>
  </si>
  <si>
    <t>OCR0A</t>
  </si>
  <si>
    <t>SYSTEM CLOCK PRESCALER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</si>
</sst>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15</xdr:col>
      <xdr:colOff>410228</xdr:colOff>
      <xdr:row>8</xdr:row>
      <xdr:rowOff>66917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17348-D2AF-10F0-17F6-4DE245122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7925" y="190500"/>
          <a:ext cx="4677428" cy="1733792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8</xdr:row>
      <xdr:rowOff>123825</xdr:rowOff>
    </xdr:from>
    <xdr:to>
      <xdr:col>12</xdr:col>
      <xdr:colOff>409971</xdr:colOff>
      <xdr:row>12</xdr:row>
      <xdr:rowOff>66800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BCFD3B-46E4-4B84-664F-2472B1109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1875" y="2028825"/>
          <a:ext cx="2838846" cy="89547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13</xdr:row>
      <xdr:rowOff>47625</xdr:rowOff>
    </xdr:from>
    <xdr:to>
      <xdr:col>12</xdr:col>
      <xdr:colOff>419496</xdr:colOff>
      <xdr:row>16</xdr:row>
      <xdr:rowOff>181080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D377ED-8CEF-47DE-C9BE-2C5058B65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1400" y="3143250"/>
          <a:ext cx="2838846" cy="7525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333375</xdr:colOff>
      <xdr:row>21</xdr:row>
      <xdr:rowOff>93502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F7324F-DB89-A89C-1C34-DAD5DA475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3905250"/>
          <a:ext cx="3200400" cy="855502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333375</xdr:colOff>
      <xdr:row>16</xdr:row>
      <xdr:rowOff>180975</xdr:rowOff>
    </xdr:from>
    <xdr:to>
      <xdr:col>7</xdr:col>
      <xdr:colOff>247650</xdr:colOff>
      <xdr:row>21</xdr:row>
      <xdr:rowOff>36997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68F153D-4C5E-42FF-2082-C508BCB9A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00" y="3895725"/>
          <a:ext cx="3200400" cy="8085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7</xdr:col>
      <xdr:colOff>134227</xdr:colOff>
      <xdr:row>34</xdr:row>
      <xdr:rowOff>38371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1D443A-C354-C8BD-FB6C-AD60FAC99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5238750"/>
          <a:ext cx="6287377" cy="19433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15</xdr:col>
      <xdr:colOff>410228</xdr:colOff>
      <xdr:row>10</xdr:row>
      <xdr:rowOff>19292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EBC596-477E-4963-BBAD-8E8617170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2350" y="238125"/>
          <a:ext cx="4677428" cy="1733792"/>
        </a:xfrm>
        <a:prstGeom prst="rect">
          <a:avLst/>
        </a:prstGeom>
      </xdr:spPr>
    </xdr:pic>
    <xdr:clientData/>
  </xdr:twoCellAnchor>
  <xdr:twoCellAnchor editAs="oneCell">
    <xdr:from>
      <xdr:col>8</xdr:col>
      <xdr:colOff>32385</xdr:colOff>
      <xdr:row>10</xdr:row>
      <xdr:rowOff>24765</xdr:rowOff>
    </xdr:from>
    <xdr:to>
      <xdr:col>12</xdr:col>
      <xdr:colOff>432831</xdr:colOff>
      <xdr:row>15</xdr:row>
      <xdr:rowOff>13460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49BF41-4E8E-4D70-9182-F8331F3F6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07605" y="2310765"/>
          <a:ext cx="2838846" cy="1085975"/>
        </a:xfrm>
        <a:prstGeom prst="rect">
          <a:avLst/>
        </a:prstGeom>
      </xdr:spPr>
    </xdr:pic>
    <xdr:clientData/>
  </xdr:twoCellAnchor>
  <xdr:twoCellAnchor editAs="oneCell">
    <xdr:from>
      <xdr:col>7</xdr:col>
      <xdr:colOff>598170</xdr:colOff>
      <xdr:row>15</xdr:row>
      <xdr:rowOff>108585</xdr:rowOff>
    </xdr:from>
    <xdr:to>
      <xdr:col>12</xdr:col>
      <xdr:colOff>389016</xdr:colOff>
      <xdr:row>19</xdr:row>
      <xdr:rowOff>144885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679EE38-56B5-424F-A14B-A248D1FE5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63790" y="3491865"/>
          <a:ext cx="2838846" cy="7678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333375</xdr:colOff>
      <xdr:row>21</xdr:row>
      <xdr:rowOff>93502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13090C-40FE-4ED5-870C-E69E915B4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3905250"/>
          <a:ext cx="3200400" cy="855502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333375</xdr:colOff>
      <xdr:row>16</xdr:row>
      <xdr:rowOff>180975</xdr:rowOff>
    </xdr:from>
    <xdr:to>
      <xdr:col>7</xdr:col>
      <xdr:colOff>247650</xdr:colOff>
      <xdr:row>21</xdr:row>
      <xdr:rowOff>36997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4E12F3-BA83-4949-B56D-D16699AC0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00" y="3895725"/>
          <a:ext cx="3200400" cy="8085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7</xdr:col>
      <xdr:colOff>134227</xdr:colOff>
      <xdr:row>34</xdr:row>
      <xdr:rowOff>38371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D52739F-DF33-47E9-8AF5-6A3C74BAA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5238750"/>
          <a:ext cx="6287377" cy="1943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8922-D92E-4E44-93B9-4CDFEDD960AB}">
  <dimension ref="B1:C24"/>
  <sheetViews>
    <sheetView workbookViewId="0">
      <selection activeCell="C7" sqref="C7"/>
    </sheetView>
  </sheetViews>
  <sheetFormatPr defaultRowHeight="14.4" x14ac:dyDescent="0.3"/>
  <cols>
    <col min="2" max="2" width="43" customWidth="1"/>
    <col min="3" max="3" width="12.6640625" bestFit="1" customWidth="1"/>
  </cols>
  <sheetData>
    <row r="1" spans="2:3" ht="18" x14ac:dyDescent="0.35">
      <c r="B1" s="1"/>
      <c r="C1" s="1"/>
    </row>
    <row r="2" spans="2:3" ht="18" x14ac:dyDescent="0.35">
      <c r="B2" s="2" t="s">
        <v>0</v>
      </c>
      <c r="C2" s="3">
        <v>8</v>
      </c>
    </row>
    <row r="3" spans="2:3" ht="18" x14ac:dyDescent="0.35">
      <c r="B3" s="2" t="s">
        <v>1</v>
      </c>
      <c r="C3" s="3">
        <v>16000000</v>
      </c>
    </row>
    <row r="4" spans="2:3" ht="18" x14ac:dyDescent="0.35">
      <c r="B4" s="2" t="s">
        <v>2</v>
      </c>
      <c r="C4" s="3">
        <v>16</v>
      </c>
    </row>
    <row r="5" spans="2:3" ht="18" x14ac:dyDescent="0.35">
      <c r="B5" s="2" t="s">
        <v>3</v>
      </c>
      <c r="C5" s="3">
        <f>C3/C4</f>
        <v>1000000</v>
      </c>
    </row>
    <row r="6" spans="2:3" ht="18" x14ac:dyDescent="0.35">
      <c r="B6" s="2" t="s">
        <v>4</v>
      </c>
      <c r="C6" s="3">
        <v>8</v>
      </c>
    </row>
    <row r="7" spans="2:3" ht="18" x14ac:dyDescent="0.35">
      <c r="B7" s="2" t="s">
        <v>5</v>
      </c>
      <c r="C7" s="3">
        <v>1E-3</v>
      </c>
    </row>
    <row r="8" spans="2:3" ht="18" x14ac:dyDescent="0.35">
      <c r="B8" s="2" t="s">
        <v>6</v>
      </c>
      <c r="C8" s="3">
        <f>POWER(2,C2)</f>
        <v>256</v>
      </c>
    </row>
    <row r="9" spans="2:3" ht="18" x14ac:dyDescent="0.35">
      <c r="B9" s="1"/>
      <c r="C9" s="1"/>
    </row>
    <row r="10" spans="2:3" ht="18" x14ac:dyDescent="0.35">
      <c r="B10" s="1" t="s">
        <v>7</v>
      </c>
      <c r="C10" s="1">
        <f>(C5*C7)/C8</f>
        <v>3.90625</v>
      </c>
    </row>
    <row r="11" spans="2:3" ht="18" x14ac:dyDescent="0.35">
      <c r="B11" s="1" t="s">
        <v>8</v>
      </c>
      <c r="C11" s="1">
        <f>(C8*C6)/C5</f>
        <v>2.0479999999999999E-3</v>
      </c>
    </row>
    <row r="12" spans="2:3" ht="18" x14ac:dyDescent="0.35">
      <c r="B12" s="1"/>
      <c r="C12" s="1"/>
    </row>
    <row r="13" spans="2:3" ht="18" x14ac:dyDescent="0.35">
      <c r="B13" s="4" t="s">
        <v>9</v>
      </c>
      <c r="C13" s="4">
        <f>256-(C5*C7)/C6</f>
        <v>131</v>
      </c>
    </row>
    <row r="14" spans="2:3" ht="18" x14ac:dyDescent="0.35">
      <c r="B14" s="5" t="s">
        <v>10</v>
      </c>
      <c r="C14" s="5">
        <f>(C5*C7)/C6</f>
        <v>125</v>
      </c>
    </row>
    <row r="24" spans="2:2" x14ac:dyDescent="0.3">
      <c r="B24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4F65-ECAD-42AC-B66D-0C65BF8F7429}">
  <dimension ref="B1:H42"/>
  <sheetViews>
    <sheetView tabSelected="1" workbookViewId="0">
      <selection activeCell="E12" sqref="E12"/>
    </sheetView>
  </sheetViews>
  <sheetFormatPr defaultRowHeight="14.4" x14ac:dyDescent="0.3"/>
  <cols>
    <col min="2" max="2" width="43" customWidth="1"/>
    <col min="3" max="3" width="12.6640625" bestFit="1" customWidth="1"/>
  </cols>
  <sheetData>
    <row r="1" spans="2:4" ht="18" x14ac:dyDescent="0.35">
      <c r="B1" s="1"/>
      <c r="C1" s="1"/>
    </row>
    <row r="2" spans="2:4" ht="18" x14ac:dyDescent="0.35">
      <c r="B2" s="2" t="s">
        <v>0</v>
      </c>
      <c r="C2" s="3">
        <v>16</v>
      </c>
    </row>
    <row r="3" spans="2:4" ht="18" x14ac:dyDescent="0.35">
      <c r="B3" s="2" t="s">
        <v>1</v>
      </c>
      <c r="C3" s="3">
        <v>16000000</v>
      </c>
    </row>
    <row r="4" spans="2:4" ht="18" x14ac:dyDescent="0.35">
      <c r="B4" s="2" t="s">
        <v>2</v>
      </c>
      <c r="C4" s="3">
        <v>16</v>
      </c>
    </row>
    <row r="5" spans="2:4" ht="18" x14ac:dyDescent="0.35">
      <c r="B5" s="2" t="s">
        <v>3</v>
      </c>
      <c r="C5" s="3">
        <f>C3/C4</f>
        <v>1000000</v>
      </c>
    </row>
    <row r="6" spans="2:4" ht="18" x14ac:dyDescent="0.35">
      <c r="B6" s="2" t="s">
        <v>4</v>
      </c>
      <c r="C6" s="3">
        <v>8</v>
      </c>
    </row>
    <row r="7" spans="2:4" ht="18" x14ac:dyDescent="0.35">
      <c r="B7" s="2" t="s">
        <v>5</v>
      </c>
      <c r="C7" s="3">
        <v>0.5</v>
      </c>
    </row>
    <row r="8" spans="2:4" ht="18" x14ac:dyDescent="0.35">
      <c r="B8" s="2" t="s">
        <v>6</v>
      </c>
      <c r="C8" s="3">
        <f>POWER(2,C2)</f>
        <v>65536</v>
      </c>
    </row>
    <row r="9" spans="2:4" ht="18" x14ac:dyDescent="0.35">
      <c r="B9" s="1"/>
      <c r="C9" s="1"/>
    </row>
    <row r="10" spans="2:4" ht="18" x14ac:dyDescent="0.35">
      <c r="B10" s="1" t="s">
        <v>7</v>
      </c>
      <c r="C10" s="1">
        <f>(C5*C7)/C8</f>
        <v>7.62939453125</v>
      </c>
    </row>
    <row r="11" spans="2:4" ht="18" x14ac:dyDescent="0.35">
      <c r="B11" s="1" t="s">
        <v>8</v>
      </c>
      <c r="C11" s="1">
        <f>(C8*C6)/C5</f>
        <v>0.52428799999999998</v>
      </c>
    </row>
    <row r="12" spans="2:4" ht="18" x14ac:dyDescent="0.35">
      <c r="B12" s="1"/>
      <c r="C12" s="1"/>
    </row>
    <row r="13" spans="2:4" ht="18" x14ac:dyDescent="0.35">
      <c r="B13" s="4" t="s">
        <v>9</v>
      </c>
      <c r="C13" s="4">
        <f>C8-(C5*C7)/C6</f>
        <v>3036</v>
      </c>
      <c r="D13" t="str">
        <f>DEC2HEX(C13)</f>
        <v>BDC</v>
      </c>
    </row>
    <row r="14" spans="2:4" ht="18" x14ac:dyDescent="0.35">
      <c r="B14" s="5" t="s">
        <v>10</v>
      </c>
      <c r="C14" s="5">
        <f>(C5*C7)/C6</f>
        <v>62500</v>
      </c>
      <c r="D14" t="str">
        <f>DEC2HEX(C14)</f>
        <v>F424</v>
      </c>
    </row>
    <row r="24" spans="2:2" x14ac:dyDescent="0.3">
      <c r="B24" t="s">
        <v>11</v>
      </c>
    </row>
    <row r="42" spans="8:8" x14ac:dyDescent="0.3">
      <c r="H4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TIMER0</vt:lpstr>
      <vt:lpstr>TIMER1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 IXCAYAU, JOSUE ELI</dc:creator>
  <cp:lastModifiedBy>Josue Mata</cp:lastModifiedBy>
  <dcterms:created xsi:type="dcterms:W3CDTF">2026-02-13T03:12:26Z</dcterms:created>
  <dcterms:modified xsi:type="dcterms:W3CDTF">2026-03-20T07:41:51Z</dcterms:modified>
</cp:coreProperties>
</file>